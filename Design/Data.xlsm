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-32160" yWindow="2060" windowWidth="29040" windowHeight="16440" tabRatio="500" activeTab="2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<sst xmlns="http://schemas.openxmlformats.org/spreadsheetml/2006/main" count="350" uniqueCount="205">
  <si>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</si>
  <si>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</si>
  <si>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</si>
  <si>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</si>
  <si>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</si>
  <si>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</si>
  <si>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</si>
  <si>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</si>
  <si>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</si>
  <si>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</si>
  <si>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</si>
  <si>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</si>
  <si>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</si>
  <si>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</si>
  <si>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</si>
  <si>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</si>
  <si>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</si>
  <si>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</si>
  <si>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</si>
  <si>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</si>
  <si>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</si>
  <si>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</si>
  <si>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</si>
  <si>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</si>
  <si>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</si>
  <si>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</si>
  <si>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</si>
  <si>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</si>
  <si>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</si>
  <si>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</si>
  <si>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</si>
  <si>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</si>
  <si>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</si>
  <si>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</si>
  <si>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</si>
  <si>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</si>
  <si>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</si>
  <si>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</si>
  <si>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</si>
  <si>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</si>
  <si>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</si>
  <si>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</si>
  <si>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</si>
  <si>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</si>
  <si>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</si>
  <si>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</si>
  <si>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</si>
  <si>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</si>
  <si>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</si>
  <si>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</si>
  <si>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</si>
  <si>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</si>
  <si>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</si>
  <si>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</si>
  <si>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</si>
  <si>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</si>
  <si>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</si>
  <si>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</si>
  <si>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</si>
  <si>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</si>
  <si>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</si>
  <si>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</si>
  <si>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</si>
  <si>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</si>
  <si>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</si>
  <si>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</si>
  <si>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</si>
  <si>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</si>
  <si>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</si>
  <si>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</si>
  <si>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</si>
  <si>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</si>
  <si>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</si>
  <si>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</si>
  <si>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</si>
  <si>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</si>
  <si>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</si>
  <si>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</si>
  <si>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</si>
  <si>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</si>
  <si>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</si>
  <si>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</si>
  <si>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</si>
  <si>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</si>
  <si>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</si>
  <si>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</si>
  <si>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</si>
  <si>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</si>
  <si>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</si>
  <si>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</si>
  <si>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</si>
  <si>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</si>
  <si>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</si>
  <si>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</si>
  <si>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</si>
  <si>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</si>
  <si>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</si>
  <si>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</si>
  <si>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</si>
  <si>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</si>
  <si>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</si>
  <si>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</si>
  <si>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</si>
  <si>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</si>
  <si>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</si>
  <si>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</si>
  <si>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</si>
  <si>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</si>
  <si>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</si>
  <si>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</si>
  <si>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</si>
  <si>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</si>
  <si>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</si>
  <si>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</si>
  <si>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</si>
  <si>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</si>
  <si>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</si>
  <si>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</si>
  <si>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</si>
  <si>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</si>
  <si>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</si>
  <si>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</si>
  <si>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</si>
  <si>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</si>
  <si>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</si>
  <si>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</si>
  <si>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</si>
  <si>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</si>
  <si>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</si>
  <si>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</si>
  <si>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</si>
  <si>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</si>
  <si>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</si>
  <si>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</si>
  <si>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</si>
  <si>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</si>
  <si>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</si>
  <si>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</si>
  <si>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</si>
  <si>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</si>
  <si>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</si>
  <si>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</si>
  <si>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</si>
  <si>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</si>
  <si>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</si>
  <si>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</si>
  <si>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</si>
  <si>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</si>
  <si>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</si>
  <si>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</si>
  <si>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</si>
  <si>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</si>
  <si>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</si>
  <si>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</si>
  <si>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</si>
  <si>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</si>
  <si>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</si>
  <si>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</si>
  <si>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</si>
  <si>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</si>
  <si>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</si>
  <si>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</si>
  <si>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</si>
  <si>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</si>
  <si>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1040</t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</si>
  <si>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</si>
  <si>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</si>
  <si>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</si>
  <si>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</si>
  <si>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</si>
  <si>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</si>
  <si>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</si>
  <si>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</si>
  <si>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</si>
  <si>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</si>
  <si>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</si>
  <si>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</si>
  <si>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</si>
  <si>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</si>
  <si>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</si>
  <si>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</si>
  <si>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</si>
  <si>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</si>
  <si>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</si>
  <si>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</si>
  <si>
    <t>不超过10层</t>
    <rPh sb="0" eb="1">
      <t>bu'chao'guo</t>
    </rPh>
    <rPh sb="5" eb="6">
      <t>ceng</t>
    </rPh>
    <phoneticPr fontId="1" type="noConversion"/>
  </si>
  <si>
    <t>每回合毒减半</t>
    <rPh sb="0" eb="1">
      <t>mei'hui'he</t>
    </rPh>
    <rPh sb="3" eb="4">
      <t>du</t>
    </rPh>
    <rPh sb="4" eb="5">
      <t>jian'ban</t>
    </rPh>
    <phoneticPr fontId="1" type="noConversion"/>
  </si>
  <si>
    <t>中毒</t>
    <rPh sb="0" eb="1">
      <t>zhong'du</t>
    </rPh>
    <phoneticPr fontId="1" type="noConversion"/>
  </si>
  <si>
    <t>基础伤害|每点伤害</t>
    <rPh sb="0" eb="1">
      <t>ji'chu</t>
    </rPh>
    <rPh sb="2" eb="3">
      <t>shang'hai</t>
    </rPh>
    <rPh sb="5" eb="6">
      <t>mei</t>
    </rPh>
    <rPh sb="6" eb="7">
      <t>dian</t>
    </rPh>
    <rPh sb="7" eb="8">
      <t>shang'hai</t>
    </rPh>
    <phoneticPr fontId="1" type="noConversion"/>
  </si>
  <si>
    <t>基础伤害|计数类型|每数伤害。0拳1剑2格挡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</si>
  <si>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基础伤害|每点伤害</t>
    <rPh sb="0" eb="1">
      <t>ji'chu'shang'hai</t>
    </rPh>
    <rPh sb="5" eb="6">
      <t>mei</t>
    </rPh>
    <rPh sb="6" eb="7">
      <t>dian</t>
    </rPh>
    <rPh sb="7" eb="8">
      <t>shang'hai</t>
    </rPh>
    <phoneticPr fontId="1" type="noConversion"/>
  </si>
  <si>
    <t>内力|伤害</t>
    <rPh sb="0" eb="1">
      <t>nei'li</t>
    </rPh>
    <rPh sb="3" eb="4">
      <t>shang'hai</t>
    </rPh>
    <phoneticPr fontId="1" type="noConversion"/>
  </si>
  <si>
    <t>2020</t>
    <phoneticPr fontId="1" type="noConversion"/>
  </si>
  <si>
    <t>3|3</t>
    <phoneticPr fontId="1" type="noConversion"/>
  </si>
  <si>
    <t>卡数|伤害</t>
    <rPh sb="0" eb="1">
      <t>ka'shu</t>
    </rPh>
    <rPh sb="3" eb="4">
      <t>shang'hai</t>
    </rPh>
    <phoneticPr fontId="1" type="noConversion"/>
  </si>
  <si>
    <t>1|4</t>
    <phoneticPr fontId="1" type="noConversion"/>
  </si>
  <si>
    <t>增加内力并造成内功伤害</t>
    <rPh sb="0" eb="1">
      <t>zeng'jai</t>
    </rPh>
    <rPh sb="2" eb="3">
      <t>nei'li</t>
    </rPh>
    <rPh sb="4" eb="5">
      <t>bing'zao'cheng</t>
    </rPh>
    <rPh sb="7" eb="8">
      <t>nei'gong</t>
    </rPh>
    <rPh sb="9" eb="10">
      <t>shang'hai</t>
    </rPh>
    <phoneticPr fontId="1" type="noConversion"/>
  </si>
  <si>
    <t>抽卡并造成内功伤害</t>
    <rPh sb="0" eb="1">
      <t>chou'ka</t>
    </rPh>
    <rPh sb="2" eb="3">
      <t>bing'zao'cheng</t>
    </rPh>
    <rPh sb="5" eb="6">
      <t>nei'gong</t>
    </rPh>
    <rPh sb="7" eb="8">
      <t>shang'hai</t>
    </rPh>
    <phoneticPr fontId="1" type="noConversion"/>
  </si>
  <si>
    <t>抽卡并造成内功伤害</t>
    <rPh sb="0" eb="1">
      <t>chou'ka</t>
    </rPh>
    <rPh sb="2" eb="3">
      <t>bing</t>
    </rPh>
    <rPh sb="3" eb="4">
      <t>zao'cheng</t>
    </rPh>
    <rPh sb="5" eb="6">
      <t>nei'li</t>
    </rPh>
    <rPh sb="6" eb="7">
      <t>gong</t>
    </rPh>
    <rPh sb="7" eb="8">
      <t>shang'hai</t>
    </rPh>
    <phoneticPr fontId="1" type="noConversion"/>
  </si>
  <si>
    <t>增加内力并造成内功伤害</t>
    <rPh sb="0" eb="1">
      <t>zeng'jia</t>
    </rPh>
    <rPh sb="2" eb="3">
      <t>nei'li</t>
    </rPh>
    <rPh sb="4" eb="5">
      <t>bing</t>
    </rPh>
    <rPh sb="5" eb="6">
      <t>zao'cheng</t>
    </rPh>
    <rPh sb="7" eb="8">
      <t>nei'li</t>
    </rPh>
    <rPh sb="8" eb="9">
      <t>gong</t>
    </rPh>
    <rPh sb="9" eb="10">
      <t>shang'hai</t>
    </rPh>
    <phoneticPr fontId="1" type="noConversion"/>
  </si>
  <si>
    <t>造成内功伤害并治疗自己</t>
    <rPh sb="0" eb="1">
      <t>zao'cheng</t>
    </rPh>
    <rPh sb="2" eb="3">
      <t>nei'gong</t>
    </rPh>
    <rPh sb="4" eb="5">
      <t>shang'hai</t>
    </rPh>
    <rPh sb="6" eb="7">
      <t>bing</t>
    </rPh>
    <rPh sb="7" eb="8">
      <t>zhi'liao</t>
    </rPh>
    <rPh sb="9" eb="10">
      <t>zi'ji</t>
    </rPh>
    <phoneticPr fontId="1" type="noConversion"/>
  </si>
  <si>
    <t>伤害|治疗</t>
    <rPh sb="0" eb="1">
      <t>shang'hai</t>
    </rPh>
    <rPh sb="3" eb="4">
      <t>zhi'liao</t>
    </rPh>
    <phoneticPr fontId="1" type="noConversion"/>
  </si>
  <si>
    <t>6|4</t>
    <phoneticPr fontId="1" type="noConversion"/>
  </si>
  <si>
    <t>2|1</t>
    <phoneticPr fontId="1" type="noConversion"/>
  </si>
  <si>
    <t>跟当前机制有冲突，本来行动点就是造成伤害用的。可以做的是行动点越高，伤害越高。</t>
    <rPh sb="0" eb="1">
      <t>gen</t>
    </rPh>
    <rPh sb="1" eb="2">
      <t>dang'qian</t>
    </rPh>
    <rPh sb="3" eb="4">
      <t>ji'zhi</t>
    </rPh>
    <rPh sb="5" eb="6">
      <t>you</t>
    </rPh>
    <rPh sb="6" eb="7">
      <t>chong'tu</t>
    </rPh>
    <rPh sb="9" eb="10">
      <t>ben'lai</t>
    </rPh>
    <rPh sb="11" eb="12">
      <t>xing'dong'dian</t>
    </rPh>
    <rPh sb="14" eb="15">
      <t>jiu</t>
    </rPh>
    <rPh sb="15" eb="16">
      <t>s</t>
    </rPh>
    <rPh sb="16" eb="17">
      <t>zao'cheng</t>
    </rPh>
    <rPh sb="18" eb="19">
      <t>shang'hai</t>
    </rPh>
    <rPh sb="20" eb="21">
      <t>yong</t>
    </rPh>
    <rPh sb="21" eb="22">
      <t>d</t>
    </rPh>
    <rPh sb="23" eb="24">
      <t>ke'yi</t>
    </rPh>
    <rPh sb="25" eb="26">
      <t>zuo</t>
    </rPh>
    <rPh sb="26" eb="27">
      <t>d</t>
    </rPh>
    <rPh sb="27" eb="28">
      <t>s</t>
    </rPh>
    <rPh sb="28" eb="29">
      <t>xing'dong'dian</t>
    </rPh>
    <rPh sb="31" eb="32">
      <t>yue'gao</t>
    </rPh>
    <rPh sb="34" eb="35">
      <t>shang'hai</t>
    </rPh>
    <rPh sb="36" eb="37">
      <t>yue'gao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</si>
</sst>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baseColWidth="10" defaultColWidth="11" defaultRowHeight="16" x14ac:dyDescent="0.2"/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27"/>
  <sheetViews>
    <sheetView workbookViewId="0">
      <selection activeCell="O7" sqref="O7"/>
    </sheetView>
  </sheetViews>
  <sheetFormatPr baseColWidth="10" defaultColWidth="11" defaultRowHeight="16" x14ac:dyDescent="0.2"/>
  <cols>
    <col min="3" max="3" width="48.1640625" customWidth="1"/>
  </cols>
  <sheetData>
    <row r="1" spans="1:15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5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5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5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5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5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164</v>
      </c>
      <c r="M6" t="s">
        <v>29</v>
      </c>
      <c r="N6" t="s">
        <v>15</v>
      </c>
      <c r="O6" t="s">
        <v>204</v>
      </c>
    </row>
    <row r="7" spans="1:15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5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5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5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5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192</v>
      </c>
      <c r="M11" t="s">
        <v>140</v>
      </c>
      <c r="N11" t="s">
        <v>15</v>
      </c>
    </row>
    <row r="12" spans="1:15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5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5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5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5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148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149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150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7"/>
  <sheetViews>
    <sheetView tabSelected="1" workbookViewId="0">
      <selection activeCell="C13" sqref="C13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12" x14ac:dyDescent="0.2">
      <c r="A1" s="3" t="s">
        <v>12</v>
      </c>
      <c r="B1" t="s">
        <v>17</v>
      </c>
      <c r="C1" t="s">
        <v>20</v>
      </c>
      <c r="D1" t="s">
        <v>26</v>
      </c>
      <c r="J1" t="s">
        <v>181</v>
      </c>
    </row>
    <row r="2" spans="1:12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2" x14ac:dyDescent="0.2">
      <c r="A3" s="2" t="s">
        <v>10</v>
      </c>
      <c r="B3" s="1" t="s">
        <v>14</v>
      </c>
      <c r="C3" t="s">
        <v>21</v>
      </c>
      <c r="D3" t="s">
        <v>151</v>
      </c>
      <c r="E3" s="4">
        <v>1</v>
      </c>
      <c r="J3">
        <v>100</v>
      </c>
      <c r="K3" t="s">
        <v>168</v>
      </c>
    </row>
    <row r="4" spans="1:12" x14ac:dyDescent="0.2">
      <c r="A4" s="2" t="s">
        <v>18</v>
      </c>
      <c r="B4" s="1" t="s">
        <v>13</v>
      </c>
      <c r="C4" t="s">
        <v>22</v>
      </c>
      <c r="D4" t="s">
        <v>173</v>
      </c>
      <c r="E4" s="4">
        <v>2</v>
      </c>
      <c r="J4">
        <v>101</v>
      </c>
      <c r="K4" t="s">
        <v>170</v>
      </c>
    </row>
    <row r="5" spans="1:12" x14ac:dyDescent="0.2">
      <c r="A5" s="2" t="s">
        <v>11</v>
      </c>
      <c r="C5" t="s">
        <v>23</v>
      </c>
      <c r="D5" t="s">
        <v>177</v>
      </c>
      <c r="E5" s="4">
        <v>3</v>
      </c>
      <c r="J5">
        <v>102</v>
      </c>
      <c r="K5" t="s">
        <v>171</v>
      </c>
    </row>
    <row r="6" spans="1:12" x14ac:dyDescent="0.2">
      <c r="A6" s="3" t="s">
        <v>30</v>
      </c>
      <c r="C6" t="s">
        <v>24</v>
      </c>
      <c r="D6" t="s">
        <v>152</v>
      </c>
      <c r="E6" s="4">
        <v>4</v>
      </c>
      <c r="J6">
        <v>103</v>
      </c>
      <c r="K6" t="s">
        <v>178</v>
      </c>
    </row>
    <row r="7" spans="1:12" x14ac:dyDescent="0.2">
      <c r="C7" t="s">
        <v>25</v>
      </c>
      <c r="D7" t="s">
        <v>165</v>
      </c>
      <c r="E7" s="4">
        <v>10</v>
      </c>
      <c r="J7">
        <v>104</v>
      </c>
      <c r="K7" t="s">
        <v>179</v>
      </c>
    </row>
    <row r="8" spans="1:12" x14ac:dyDescent="0.2">
      <c r="D8" t="s">
        <v>166</v>
      </c>
      <c r="E8" s="4">
        <v>11</v>
      </c>
      <c r="J8">
        <v>105</v>
      </c>
      <c r="K8" t="s">
        <v>180</v>
      </c>
    </row>
    <row r="9" spans="1:12" x14ac:dyDescent="0.2">
      <c r="D9" t="s">
        <v>167</v>
      </c>
      <c r="E9" s="4">
        <v>12</v>
      </c>
      <c r="K9" t="s">
        <v>187</v>
      </c>
      <c r="L9" t="s">
        <v>186</v>
      </c>
    </row>
    <row r="10" spans="1:12" x14ac:dyDescent="0.2">
      <c r="D10" t="s">
        <v>153</v>
      </c>
      <c r="E10" s="4">
        <v>20</v>
      </c>
      <c r="F10" t="s">
        <v>169</v>
      </c>
    </row>
    <row r="11" spans="1:12" x14ac:dyDescent="0.2">
      <c r="D11" t="s">
        <v>154</v>
      </c>
      <c r="E11" s="4">
        <v>21</v>
      </c>
      <c r="F11" t="s">
        <v>185</v>
      </c>
      <c r="G11" t="s">
        <v>186</v>
      </c>
    </row>
    <row r="12" spans="1:12" x14ac:dyDescent="0.2">
      <c r="D12" t="s">
        <v>155</v>
      </c>
      <c r="E12" s="4">
        <v>30</v>
      </c>
    </row>
    <row r="13" spans="1:12" x14ac:dyDescent="0.2">
      <c r="D13" t="s">
        <v>156</v>
      </c>
      <c r="E13" s="4">
        <v>40</v>
      </c>
    </row>
    <row r="14" spans="1:12" x14ac:dyDescent="0.2">
      <c r="D14" t="s">
        <v>157</v>
      </c>
      <c r="E14" s="4">
        <v>41</v>
      </c>
    </row>
    <row r="15" spans="1:12" x14ac:dyDescent="0.2">
      <c r="D15" t="s">
        <v>158</v>
      </c>
      <c r="E15" s="4">
        <v>42</v>
      </c>
    </row>
    <row r="16" spans="1:12" x14ac:dyDescent="0.2">
      <c r="D16" t="s">
        <v>159</v>
      </c>
      <c r="E16" s="4">
        <v>43</v>
      </c>
    </row>
    <row r="17" spans="4:6" x14ac:dyDescent="0.2">
      <c r="D17" t="s">
        <v>160</v>
      </c>
      <c r="E17" s="4">
        <v>50</v>
      </c>
    </row>
    <row r="18" spans="4:6" x14ac:dyDescent="0.2">
      <c r="D18" t="s">
        <v>161</v>
      </c>
      <c r="E18" s="4">
        <v>60</v>
      </c>
    </row>
    <row r="19" spans="4:6" x14ac:dyDescent="0.2">
      <c r="D19" t="s">
        <v>162</v>
      </c>
      <c r="E19" s="4">
        <v>70</v>
      </c>
    </row>
    <row r="20" spans="4:6" x14ac:dyDescent="0.2">
      <c r="D20" t="s">
        <v>163</v>
      </c>
      <c r="E20" s="4">
        <v>71</v>
      </c>
    </row>
    <row r="21" spans="4:6" x14ac:dyDescent="0.2">
      <c r="D21" t="s">
        <v>172</v>
      </c>
      <c r="E21" s="4">
        <v>80</v>
      </c>
    </row>
    <row r="22" spans="4:6" x14ac:dyDescent="0.2">
      <c r="D22" t="s">
        <v>174</v>
      </c>
      <c r="E22" s="4">
        <v>200</v>
      </c>
      <c r="F22" t="s">
        <v>189</v>
      </c>
    </row>
    <row r="23" spans="4:6" x14ac:dyDescent="0.2">
      <c r="D23" t="s">
        <v>175</v>
      </c>
      <c r="E23" s="4">
        <v>201</v>
      </c>
      <c r="F23" t="s">
        <v>188</v>
      </c>
    </row>
    <row r="24" spans="4:6" x14ac:dyDescent="0.2">
      <c r="D24" t="s">
        <v>176</v>
      </c>
      <c r="E24" s="4">
        <v>202</v>
      </c>
      <c r="F24" t="s">
        <v>190</v>
      </c>
    </row>
    <row r="25" spans="4:6" x14ac:dyDescent="0.2">
      <c r="D25" t="s">
        <v>196</v>
      </c>
      <c r="E25" s="4">
        <v>13</v>
      </c>
      <c r="F25" t="s">
        <v>191</v>
      </c>
    </row>
    <row r="26" spans="4:6" x14ac:dyDescent="0.2">
      <c r="D26" t="s">
        <v>197</v>
      </c>
      <c r="E26" s="4">
        <v>301</v>
      </c>
      <c r="F26" t="s">
        <v>194</v>
      </c>
    </row>
    <row r="27" spans="4:6" x14ac:dyDescent="0.2">
      <c r="D27" t="s">
        <v>200</v>
      </c>
      <c r="E27" s="4">
        <v>300</v>
      </c>
      <c r="F27" t="s">
        <v>201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29"/>
  <sheetViews>
    <sheetView workbookViewId="0">
      <selection activeCell="F10" sqref="F10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173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182</v>
      </c>
      <c r="E3" t="s">
        <v>174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173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183</v>
      </c>
      <c r="E5" t="s">
        <v>174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 t="s">
        <v>203</v>
      </c>
      <c r="E6" t="s">
        <v>175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184</v>
      </c>
      <c r="E7" t="s">
        <v>174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 t="s">
        <v>193</v>
      </c>
      <c r="E8" t="s">
        <v>176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165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165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151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13</v>
      </c>
      <c r="C12" s="4" t="s">
        <v>193</v>
      </c>
      <c r="E12" t="s">
        <v>199</v>
      </c>
      <c r="F12" s="8"/>
      <c r="G12" s="8"/>
      <c r="H12" s="9"/>
      <c r="I12" s="8"/>
    </row>
    <row r="13" spans="1:9" x14ac:dyDescent="0.2">
      <c r="A13" s="7">
        <v>2030</v>
      </c>
      <c r="B13" s="4">
        <f>VLOOKUP(E13,Enum!$D$2:$E$30,2,0)</f>
        <v>10</v>
      </c>
      <c r="C13" s="4">
        <v>8</v>
      </c>
      <c r="E13" t="s">
        <v>165</v>
      </c>
      <c r="F13" s="8"/>
      <c r="G13" s="8"/>
      <c r="H13" s="9"/>
      <c r="I13" s="8"/>
    </row>
    <row r="14" spans="1:9" x14ac:dyDescent="0.2">
      <c r="A14" s="7">
        <v>2040</v>
      </c>
      <c r="B14" s="4">
        <f>VLOOKUP(E14,Enum!$D$2:$E$30,2,0)</f>
        <v>20</v>
      </c>
      <c r="C14" s="4">
        <v>100</v>
      </c>
      <c r="E14" t="s">
        <v>153</v>
      </c>
      <c r="F14" s="8"/>
      <c r="G14" s="8"/>
      <c r="H14" s="9"/>
      <c r="I14" s="8"/>
    </row>
    <row r="15" spans="1:9" x14ac:dyDescent="0.2">
      <c r="A15" s="7">
        <v>2050</v>
      </c>
      <c r="B15" s="4">
        <f>VLOOKUP(E15,Enum!$D$2:$E$30,2,0)</f>
        <v>20</v>
      </c>
      <c r="C15" s="4">
        <v>101</v>
      </c>
      <c r="E15" t="s">
        <v>153</v>
      </c>
      <c r="F15" s="8"/>
      <c r="G15" s="8"/>
      <c r="H15" s="9"/>
      <c r="I15" s="8"/>
    </row>
    <row r="16" spans="1:9" x14ac:dyDescent="0.2">
      <c r="A16" s="7">
        <v>2060</v>
      </c>
      <c r="B16" s="4">
        <f>VLOOKUP(E16,Enum!$D$2:$E$30,2,0)</f>
        <v>20</v>
      </c>
      <c r="C16" s="4">
        <v>102</v>
      </c>
      <c r="E16" t="s">
        <v>153</v>
      </c>
      <c r="F16" s="8"/>
      <c r="G16" s="8"/>
      <c r="H16" s="9"/>
      <c r="I16" s="8"/>
    </row>
    <row r="17" spans="1:9" x14ac:dyDescent="0.2">
      <c r="A17" s="7">
        <v>3000</v>
      </c>
      <c r="B17" s="4">
        <f>VLOOKUP(E17,Enum!$D$2:$E$30,2,0)</f>
        <v>80</v>
      </c>
      <c r="C17" s="4">
        <v>1</v>
      </c>
      <c r="E17" t="s">
        <v>172</v>
      </c>
      <c r="F17" s="8"/>
      <c r="G17" s="8"/>
      <c r="H17" s="9"/>
      <c r="I17" s="8"/>
    </row>
    <row r="18" spans="1:9" x14ac:dyDescent="0.2">
      <c r="A18" s="4">
        <v>3001</v>
      </c>
      <c r="B18" s="4">
        <f>VLOOKUP(E18,Enum!$D$2:$E$30,2,0)</f>
        <v>40</v>
      </c>
      <c r="C18" s="4">
        <v>1</v>
      </c>
      <c r="E18" t="s">
        <v>156</v>
      </c>
      <c r="F18" s="8"/>
      <c r="G18" s="8"/>
      <c r="H18" s="9"/>
      <c r="I18" s="8"/>
    </row>
    <row r="19" spans="1:9" x14ac:dyDescent="0.2">
      <c r="A19" s="7">
        <v>3010</v>
      </c>
      <c r="B19" s="4">
        <f>VLOOKUP(E19,Enum!$D$2:$E$30,2,0)</f>
        <v>80</v>
      </c>
      <c r="C19" s="4">
        <v>3</v>
      </c>
      <c r="E19" t="s">
        <v>172</v>
      </c>
      <c r="F19" s="8"/>
      <c r="G19" s="8"/>
      <c r="H19" s="9"/>
      <c r="I19" s="8"/>
    </row>
    <row r="20" spans="1:9" x14ac:dyDescent="0.2">
      <c r="A20" s="7">
        <v>4000</v>
      </c>
      <c r="B20" s="4">
        <f>VLOOKUP(E20,Enum!$D$2:$E$30,2,0)</f>
        <v>3</v>
      </c>
      <c r="C20" s="4">
        <v>5</v>
      </c>
      <c r="E20" t="s">
        <v>177</v>
      </c>
      <c r="F20" s="8"/>
      <c r="G20" s="8"/>
      <c r="H20" s="9"/>
      <c r="I20" s="8"/>
    </row>
    <row r="21" spans="1:9" x14ac:dyDescent="0.2">
      <c r="A21" s="7">
        <v>4010</v>
      </c>
      <c r="B21" s="4">
        <f>VLOOKUP(E21,Enum!$D$2:$E$30,2,0)</f>
        <v>40</v>
      </c>
      <c r="C21" s="4">
        <v>3</v>
      </c>
      <c r="E21" t="s">
        <v>156</v>
      </c>
      <c r="F21" s="8"/>
      <c r="G21" s="8"/>
      <c r="H21" s="9"/>
      <c r="I21" s="8"/>
    </row>
    <row r="22" spans="1:9" x14ac:dyDescent="0.2">
      <c r="A22" s="7">
        <v>4020</v>
      </c>
      <c r="B22" s="4">
        <f>VLOOKUP(E22,Enum!$D$2:$E$30,2,0)</f>
        <v>301</v>
      </c>
      <c r="C22" s="4" t="s">
        <v>195</v>
      </c>
      <c r="E22" t="s">
        <v>198</v>
      </c>
      <c r="F22" s="8"/>
      <c r="G22" s="8"/>
      <c r="H22" s="9"/>
      <c r="I22" s="8"/>
    </row>
    <row r="23" spans="1:9" x14ac:dyDescent="0.2">
      <c r="A23" s="7">
        <v>4030</v>
      </c>
      <c r="B23" s="4">
        <f>VLOOKUP(E23,Enum!$D$2:$E$30,2,0)</f>
        <v>1</v>
      </c>
      <c r="C23" s="4">
        <v>5</v>
      </c>
      <c r="E23" t="s">
        <v>151</v>
      </c>
      <c r="F23" s="8"/>
      <c r="G23" s="8"/>
      <c r="H23" s="9"/>
      <c r="I23" s="8"/>
    </row>
    <row r="24" spans="1:9" x14ac:dyDescent="0.2">
      <c r="A24" s="7">
        <v>4040</v>
      </c>
      <c r="B24" s="4">
        <f>VLOOKUP(E24,Enum!$D$2:$E$30,2,0)</f>
        <v>300</v>
      </c>
      <c r="C24" s="4" t="s">
        <v>202</v>
      </c>
      <c r="E24" t="s">
        <v>200</v>
      </c>
      <c r="F24" s="8"/>
      <c r="G24" s="8"/>
      <c r="H24" s="9"/>
      <c r="I24" s="8"/>
    </row>
    <row r="25" spans="1:9" x14ac:dyDescent="0.2">
      <c r="A25" s="7">
        <v>4050</v>
      </c>
      <c r="B25" s="4">
        <f>VLOOKUP(E25,Enum!$D$2:$E$30,2,0)</f>
        <v>1</v>
      </c>
      <c r="C25" s="4">
        <v>20</v>
      </c>
      <c r="E25" t="s">
        <v>151</v>
      </c>
      <c r="F25" s="8"/>
      <c r="G25" s="8"/>
      <c r="H25" s="9"/>
      <c r="I25" s="8"/>
    </row>
    <row r="26" spans="1:9" x14ac:dyDescent="0.2">
      <c r="A26" s="7">
        <v>4060</v>
      </c>
      <c r="B26" s="4">
        <f>VLOOKUP(E26,Enum!$D$2:$E$30,2,0)</f>
        <v>20</v>
      </c>
      <c r="C26" s="4">
        <v>103</v>
      </c>
      <c r="E26" t="s">
        <v>153</v>
      </c>
      <c r="F26" s="8"/>
      <c r="G26" s="8"/>
      <c r="H26" s="9"/>
      <c r="I26" s="8"/>
    </row>
    <row r="27" spans="1:9" x14ac:dyDescent="0.2">
      <c r="A27" s="7">
        <v>4070</v>
      </c>
      <c r="B27" s="4">
        <f>VLOOKUP(E27,Enum!$D$2:$E$30,2,0)</f>
        <v>80</v>
      </c>
      <c r="C27" s="4">
        <v>10</v>
      </c>
      <c r="E27" t="s">
        <v>172</v>
      </c>
      <c r="F27" s="8"/>
      <c r="G27" s="8"/>
      <c r="H27" s="9"/>
      <c r="I27" s="8"/>
    </row>
    <row r="28" spans="1:9" x14ac:dyDescent="0.2">
      <c r="A28" s="7">
        <v>5010</v>
      </c>
      <c r="B28" s="4">
        <f>VLOOKUP(E28,Enum!$D$2:$E$30,2,0)</f>
        <v>20</v>
      </c>
      <c r="C28" s="4">
        <v>104</v>
      </c>
      <c r="E28" t="s">
        <v>153</v>
      </c>
      <c r="F28" s="8"/>
      <c r="G28" s="8"/>
      <c r="H28" s="9"/>
      <c r="I28" s="8"/>
    </row>
    <row r="29" spans="1:9" x14ac:dyDescent="0.2">
      <c r="A29" s="7">
        <v>5020</v>
      </c>
      <c r="B29" s="4">
        <f>VLOOKUP(E29,Enum!$D$2:$E$30,2,0)</f>
        <v>20</v>
      </c>
      <c r="C29" s="4">
        <v>105</v>
      </c>
      <c r="E29" t="s">
        <v>153</v>
      </c>
      <c r="F29" s="8"/>
      <c r="G29" s="8"/>
      <c r="H29" s="9"/>
      <c r="I29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2018-08-24T01:37:52Z</dcterms:modified>
</cp:coreProperties>
</file>