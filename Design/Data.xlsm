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n_Sky/CardGame_TheTalesOfImmortal/Design/"/>
    </mc:Choice>
  </mc:AlternateContent>
  <bookViews>
    <workbookView xWindow="1000" yWindow="460" windowWidth="24600" windowHeight="15540" tabRatio="500"/>
  </bookViews>
  <sheets>
    <sheet name="CardData" sheetId="1" r:id="rId1"/>
    <sheet name="Enum" sheetId="3" r:id="rId2"/>
    <sheet name="CardEffects" sheetId="2" r:id="rId3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I2" i="1"/>
  <c r="H2" i="1"/>
</calcChain>
</file>

<file path=xl/sharedStrings.xml><?xml version="1.0" encoding="utf-8"?>
<sst xmlns="http://schemas.openxmlformats.org/spreadsheetml/2006/main" count="58" uniqueCount="51">
  <si>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</si>
  <si>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</si>
  <si>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</si>
  <si>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</si>
  <si>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</si>
  <si>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</si>
  <si>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</si>
  <si>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</si>
  <si>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</si>
  <si>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造成1点外功伤害。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</si>
  <si>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</si>
  <si>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</si>
  <si>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</si>
  <si>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</si>
  <si>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</si>
  <si>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</si>
  <si>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</si>
  <si>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</si>
  <si>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</si>
  <si>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</si>
  <si>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</si>
  <si>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</si>
  <si>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DirectDamage</t>
    <phoneticPr fontId="1" type="noConversion"/>
  </si>
  <si>
    <t>DoublePoison</t>
    <phoneticPr fontId="1" type="noConversion"/>
  </si>
  <si>
    <t>Summon=30</t>
    <phoneticPr fontId="1" type="noConversion"/>
  </si>
  <si>
    <t>AddCardToHand</t>
    <phoneticPr fontId="1" type="noConversion"/>
  </si>
  <si>
    <t>KillEnemyPuppet=500</t>
    <phoneticPr fontId="1" type="noConversion"/>
  </si>
  <si>
    <t>KillMyPuppet</t>
    <phoneticPr fontId="1" type="noConversion"/>
  </si>
  <si>
    <t>Dead</t>
  </si>
  <si>
    <t>Heal</t>
  </si>
  <si>
    <t>EnemyPlayPhysicalCard</t>
  </si>
  <si>
    <t>PhysicalDamage</t>
  </si>
  <si>
    <t>EnemyPlayMagicalCard</t>
  </si>
  <si>
    <t>MagicalDamage</t>
  </si>
  <si>
    <t>EnemyPlayManaCard</t>
  </si>
  <si>
    <t>EnemyPlayTriggerCard</t>
  </si>
  <si>
    <t>AddMp=10</t>
  </si>
  <si>
    <t>ReduceMana</t>
  </si>
  <si>
    <t>ClearMana</t>
  </si>
  <si>
    <t>AddBuff=20</t>
  </si>
  <si>
    <t>DrawCard=40</t>
  </si>
  <si>
    <t>RemoveCard</t>
  </si>
  <si>
    <t>AddCardToLibrary</t>
  </si>
  <si>
    <t>InstantKill=50</t>
  </si>
  <si>
    <t>AddTriggerSkill=60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</si>
  <si>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</si>
  <si>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</si>
  <si>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物理攻击</t>
    <rPh sb="0" eb="1">
      <t>chagn'quan</t>
    </rPh>
    <phoneticPr fontId="1" type="noConversion"/>
  </si>
  <si>
    <t>Type</t>
    <phoneticPr fontId="1" type="noConversion"/>
  </si>
  <si>
    <t>Physical</t>
  </si>
  <si>
    <t>None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</si>
</sst>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sz val="12"/>
      <color indexed="72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101600</xdr:colOff>
          <xdr:row>0</xdr:row>
          <xdr:rowOff>50800</xdr:rowOff>
        </xdr:from>
        <xdr:to>
          <xdr:col>10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2"/>
  <sheetViews>
    <sheetView tabSelected="1" workbookViewId="0">
      <selection activeCell="I2" sqref="I2"/>
    </sheetView>
  </sheetViews>
  <sheetFormatPr baseColWidth="10" defaultColWidth="11" defaultRowHeight="16" x14ac:dyDescent="0.2"/>
  <cols>
    <col min="3" max="3" width="18.5" bestFit="1" customWidth="1"/>
  </cols>
  <sheetData>
    <row r="1" spans="1:13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20</v>
      </c>
      <c r="H1" t="s">
        <v>6</v>
      </c>
      <c r="I1" t="s">
        <v>7</v>
      </c>
      <c r="J1" t="s">
        <v>8</v>
      </c>
      <c r="L1" t="s">
        <v>6</v>
      </c>
      <c r="M1" t="s">
        <v>7</v>
      </c>
    </row>
    <row r="2" spans="1:13" x14ac:dyDescent="0.2">
      <c r="A2">
        <v>100</v>
      </c>
      <c r="B2" t="s">
        <v>47</v>
      </c>
      <c r="C2" t="s">
        <v>9</v>
      </c>
      <c r="D2">
        <v>1</v>
      </c>
      <c r="E2">
        <v>1</v>
      </c>
      <c r="F2">
        <v>1</v>
      </c>
      <c r="G2">
        <v>0</v>
      </c>
      <c r="H2">
        <f>MATCH(L2,Enum!$A$2:$A$31,0)-1</f>
        <v>0</v>
      </c>
      <c r="I2">
        <f>MATCH(M2,Enum!$B$2:$B$30,0)-1</f>
        <v>0</v>
      </c>
      <c r="J2">
        <v>1000</v>
      </c>
      <c r="L2" t="s">
        <v>49</v>
      </c>
      <c r="M2" t="s">
        <v>16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10</xdr:col>
                    <xdr:colOff>101600</xdr:colOff>
                    <xdr:row>0</xdr:row>
                    <xdr:rowOff>50800</xdr:rowOff>
                  </from>
                  <to>
                    <xdr:col>10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M2</xm:sqref>
        </x14:dataValidation>
        <x14:dataValidation type="list" allowBlank="1" showInputMessage="1" showErrorMessage="1">
          <x14:formula1>
            <xm:f>Enum!$A$2:$A$6</xm:f>
          </x14:formula1>
          <xm:sqref>L2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0"/>
  <sheetViews>
    <sheetView workbookViewId="0">
      <selection activeCell="A7" sqref="A7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5" x14ac:dyDescent="0.2">
      <c r="A1" s="3" t="s">
        <v>13</v>
      </c>
      <c r="B1" t="s">
        <v>18</v>
      </c>
      <c r="C1" t="s">
        <v>21</v>
      </c>
      <c r="D1" t="s">
        <v>45</v>
      </c>
    </row>
    <row r="2" spans="1:5" x14ac:dyDescent="0.2">
      <c r="A2" s="2" t="s">
        <v>10</v>
      </c>
      <c r="B2" s="1" t="s">
        <v>17</v>
      </c>
      <c r="C2" t="s">
        <v>16</v>
      </c>
      <c r="D2" t="s">
        <v>16</v>
      </c>
      <c r="E2">
        <v>0</v>
      </c>
    </row>
    <row r="3" spans="1:5" x14ac:dyDescent="0.2">
      <c r="A3" s="2" t="s">
        <v>11</v>
      </c>
      <c r="B3" s="1" t="s">
        <v>15</v>
      </c>
      <c r="C3" t="s">
        <v>28</v>
      </c>
      <c r="D3" t="s">
        <v>29</v>
      </c>
      <c r="E3">
        <v>1</v>
      </c>
    </row>
    <row r="4" spans="1:5" x14ac:dyDescent="0.2">
      <c r="A4" s="2" t="s">
        <v>19</v>
      </c>
      <c r="B4" s="1" t="s">
        <v>14</v>
      </c>
      <c r="C4" t="s">
        <v>30</v>
      </c>
      <c r="D4" t="s">
        <v>31</v>
      </c>
      <c r="E4">
        <v>2</v>
      </c>
    </row>
    <row r="5" spans="1:5" x14ac:dyDescent="0.2">
      <c r="A5" s="2" t="s">
        <v>12</v>
      </c>
      <c r="C5" t="s">
        <v>32</v>
      </c>
      <c r="D5" t="s">
        <v>33</v>
      </c>
      <c r="E5">
        <v>3</v>
      </c>
    </row>
    <row r="6" spans="1:5" x14ac:dyDescent="0.2">
      <c r="A6" s="3" t="s">
        <v>50</v>
      </c>
      <c r="C6" t="s">
        <v>34</v>
      </c>
      <c r="D6" t="s">
        <v>22</v>
      </c>
      <c r="E6">
        <v>4</v>
      </c>
    </row>
    <row r="7" spans="1:5" x14ac:dyDescent="0.2">
      <c r="C7" t="s">
        <v>35</v>
      </c>
      <c r="D7" t="s">
        <v>36</v>
      </c>
      <c r="E7">
        <v>10</v>
      </c>
    </row>
    <row r="8" spans="1:5" x14ac:dyDescent="0.2">
      <c r="D8" t="s">
        <v>37</v>
      </c>
      <c r="E8">
        <v>11</v>
      </c>
    </row>
    <row r="9" spans="1:5" x14ac:dyDescent="0.2">
      <c r="D9" t="s">
        <v>38</v>
      </c>
      <c r="E9">
        <v>12</v>
      </c>
    </row>
    <row r="10" spans="1:5" x14ac:dyDescent="0.2">
      <c r="D10" t="s">
        <v>39</v>
      </c>
      <c r="E10">
        <v>20</v>
      </c>
    </row>
    <row r="11" spans="1:5" x14ac:dyDescent="0.2">
      <c r="D11" t="s">
        <v>23</v>
      </c>
      <c r="E11">
        <v>21</v>
      </c>
    </row>
    <row r="12" spans="1:5" x14ac:dyDescent="0.2">
      <c r="D12" t="s">
        <v>24</v>
      </c>
      <c r="E12">
        <v>30</v>
      </c>
    </row>
    <row r="13" spans="1:5" x14ac:dyDescent="0.2">
      <c r="D13" t="s">
        <v>40</v>
      </c>
      <c r="E13">
        <v>40</v>
      </c>
    </row>
    <row r="14" spans="1:5" x14ac:dyDescent="0.2">
      <c r="D14" t="s">
        <v>41</v>
      </c>
      <c r="E14">
        <v>41</v>
      </c>
    </row>
    <row r="15" spans="1:5" x14ac:dyDescent="0.2">
      <c r="D15" t="s">
        <v>25</v>
      </c>
      <c r="E15">
        <v>42</v>
      </c>
    </row>
    <row r="16" spans="1:5" x14ac:dyDescent="0.2">
      <c r="D16" t="s">
        <v>42</v>
      </c>
      <c r="E16">
        <v>43</v>
      </c>
    </row>
    <row r="17" spans="4:5" x14ac:dyDescent="0.2">
      <c r="D17" t="s">
        <v>43</v>
      </c>
      <c r="E17">
        <v>50</v>
      </c>
    </row>
    <row r="18" spans="4:5" x14ac:dyDescent="0.2">
      <c r="D18" t="s">
        <v>44</v>
      </c>
      <c r="E18">
        <v>60</v>
      </c>
    </row>
    <row r="19" spans="4:5" x14ac:dyDescent="0.2">
      <c r="D19" t="s">
        <v>26</v>
      </c>
      <c r="E19">
        <v>70</v>
      </c>
    </row>
    <row r="20" spans="4:5" x14ac:dyDescent="0.2">
      <c r="D20" t="s">
        <v>27</v>
      </c>
      <c r="E20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E2"/>
  <sheetViews>
    <sheetView workbookViewId="0">
      <selection activeCell="A3" sqref="A3:XFD39"/>
    </sheetView>
  </sheetViews>
  <sheetFormatPr baseColWidth="10" defaultColWidth="11" defaultRowHeight="16" x14ac:dyDescent="0.2"/>
  <cols>
    <col min="1" max="3" width="11" style="4"/>
  </cols>
  <sheetData>
    <row r="1" spans="1:5" x14ac:dyDescent="0.2">
      <c r="A1" s="4" t="s">
        <v>0</v>
      </c>
      <c r="B1" s="4" t="s">
        <v>6</v>
      </c>
      <c r="C1" s="4" t="s">
        <v>46</v>
      </c>
      <c r="E1" s="4" t="s">
        <v>48</v>
      </c>
    </row>
    <row r="2" spans="1:5" x14ac:dyDescent="0.2">
      <c r="A2" s="4">
        <v>1000</v>
      </c>
      <c r="B2" s="4">
        <f>VLOOKUP(E2,Enum!$D$2:$E$30,2,0)</f>
        <v>2</v>
      </c>
      <c r="C2" s="4">
        <v>1</v>
      </c>
      <c r="E2" t="s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Enum!$D$2:$D$20</xm:f>
          </x14:formula1>
          <xm:sqref>E2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2018-04-21T08:22:20Z</dcterms:modified>
</cp:coreProperties>
</file>