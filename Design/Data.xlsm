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465" yWindow="1905" windowWidth="29040" windowHeight="16440" tabRatio="500" activeTab="1"/>
  </bookViews>
  <sheets>
    <sheet name="总卡牌" sheetId="4" r:id="rId1"/>
    <sheet name="CardData" sheetId="1" r:id="rId2"/>
    <sheet name="Enum" sheetId="3" r:id="rId3"/>
    <sheet name="CardEffects" sheetId="2" r:id="rId4"/>
  </sheet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<sst xmlns="http://schemas.openxmlformats.org/spreadsheetml/2006/main" count="337" uniqueCount="188">
  <si>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</si>
  <si>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</si>
  <si>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</si>
  <si>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</si>
  <si>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</si>
  <si>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</si>
  <si>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</si>
  <si>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</si>
  <si>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</si>
  <si>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</si>
  <si>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</si>
  <si>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</si>
  <si>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</si>
  <si>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</si>
  <si>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</si>
  <si>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</si>
  <si>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</si>
  <si>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</si>
  <si>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</si>
  <si>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</si>
  <si>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</si>
  <si>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</si>
  <si>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</si>
  <si>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</si>
  <si>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</si>
  <si>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</si>
  <si>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</si>
  <si>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</si>
  <si>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</si>
  <si>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</si>
  <si>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</si>
  <si>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</si>
  <si>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</si>
  <si>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</si>
  <si>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</si>
  <si>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</si>
  <si>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</si>
  <si>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</si>
  <si>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</si>
  <si>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</si>
  <si>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</si>
  <si>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</si>
  <si>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</si>
  <si>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</si>
  <si>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</si>
  <si>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</si>
  <si>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</si>
  <si>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</si>
  <si>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</si>
  <si>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</si>
  <si>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</si>
  <si>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</si>
  <si>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</si>
  <si>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</si>
  <si>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</si>
  <si>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</si>
  <si>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</si>
  <si>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</si>
  <si>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</si>
  <si>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</si>
  <si>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</si>
  <si>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</si>
  <si>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</si>
  <si>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</si>
  <si>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</si>
  <si>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</si>
  <si>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</si>
  <si>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</si>
  <si>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</si>
  <si>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</si>
  <si>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</si>
  <si>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</si>
  <si>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</si>
  <si>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</si>
  <si>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</si>
  <si>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</si>
  <si>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</si>
  <si>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</si>
  <si>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</si>
  <si>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</si>
  <si>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</si>
  <si>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</si>
  <si>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</si>
  <si>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</si>
  <si>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</si>
  <si>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</si>
  <si>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</si>
  <si>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</si>
  <si>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</si>
  <si>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</si>
  <si>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</si>
  <si>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</si>
  <si>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</si>
  <si>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</si>
  <si>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</si>
  <si>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</si>
  <si>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</si>
  <si>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</si>
  <si>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</si>
  <si>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</si>
  <si>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</si>
  <si>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</si>
  <si>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</si>
  <si>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</si>
  <si>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</si>
  <si>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</si>
  <si>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</si>
  <si>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</si>
  <si>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</si>
  <si>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</si>
  <si>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</si>
  <si>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</si>
  <si>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</si>
  <si>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</si>
  <si>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</si>
  <si>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</si>
  <si>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</si>
  <si>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</si>
  <si>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</si>
  <si>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</si>
  <si>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</si>
  <si>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</si>
  <si>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</si>
  <si>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</si>
  <si>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</si>
  <si>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</si>
  <si>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</si>
  <si>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</si>
  <si>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</si>
  <si>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</si>
  <si>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</si>
  <si>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</si>
  <si>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</si>
  <si>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</si>
  <si>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</si>
  <si>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</si>
  <si>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</si>
  <si>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</si>
  <si>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</si>
  <si>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</si>
  <si>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</si>
  <si>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</si>
  <si>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</si>
  <si>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</si>
  <si>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</si>
  <si>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</si>
  <si>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</si>
  <si>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</si>
  <si>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2020,2021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</si>
  <si>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</si>
  <si>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</si>
  <si>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</si>
  <si>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</si>
  <si>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</si>
  <si>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</si>
  <si>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</si>
  <si>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</si>
  <si>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</si>
  <si>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</si>
  <si>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</si>
  <si>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</si>
  <si>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</si>
  <si>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</si>
  <si>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</si>
  <si>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</si>
  <si>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每点伤害</t>
    <rPh sb="0" eb="1">
      <t>mei</t>
    </rPh>
    <rPh sb="1" eb="2">
      <t>dian</t>
    </rPh>
    <rPh sb="2" eb="3">
      <t>shang'hai</t>
    </rPh>
    <phoneticPr fontId="1" type="noConversion"/>
  </si>
  <si>
    <t>1040</t>
    <phoneticPr fontId="1" type="noConversion"/>
  </si>
  <si>
    <t>基础伤害,计数类型,每数伤害。0拳1剑2格挡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</si>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</sst>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47625</xdr:rowOff>
        </xdr:from>
        <xdr:to>
          <xdr:col>11</xdr:col>
          <xdr:colOff>752475</xdr:colOff>
          <xdr:row>1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按钮 </a:t>
              </a: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0</xdr:row>
          <xdr:rowOff>47625</xdr:rowOff>
        </xdr:from>
        <xdr:to>
          <xdr:col>3</xdr:col>
          <xdr:colOff>676275</xdr:colOff>
          <xdr:row>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按钮 </a:t>
              </a: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defaultColWidth="11" defaultRowHeight="15.75"/>
  <sheetData>
    <row r="1" spans="1:11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>
      <c r="A3">
        <v>101</v>
      </c>
      <c r="B3" t="s">
        <v>34</v>
      </c>
      <c r="C3" t="s">
        <v>63</v>
      </c>
      <c r="D3">
        <v>1</v>
      </c>
    </row>
    <row r="4" spans="1:11">
      <c r="A4">
        <v>102</v>
      </c>
      <c r="B4" t="s">
        <v>35</v>
      </c>
      <c r="C4" t="s">
        <v>36</v>
      </c>
      <c r="D4">
        <v>1</v>
      </c>
    </row>
    <row r="5" spans="1:11">
      <c r="A5">
        <v>103</v>
      </c>
      <c r="B5" t="s">
        <v>38</v>
      </c>
      <c r="C5" t="s">
        <v>64</v>
      </c>
    </row>
    <row r="6" spans="1:11">
      <c r="A6">
        <v>104</v>
      </c>
      <c r="B6" t="s">
        <v>40</v>
      </c>
      <c r="C6" t="s">
        <v>65</v>
      </c>
    </row>
    <row r="7" spans="1:11">
      <c r="A7">
        <v>105</v>
      </c>
      <c r="B7" t="s">
        <v>59</v>
      </c>
      <c r="C7" t="s">
        <v>66</v>
      </c>
    </row>
    <row r="8" spans="1:11">
      <c r="A8">
        <v>106</v>
      </c>
      <c r="B8" t="s">
        <v>39</v>
      </c>
      <c r="C8" t="s">
        <v>67</v>
      </c>
    </row>
    <row r="9" spans="1:11">
      <c r="A9">
        <v>107</v>
      </c>
      <c r="B9" t="s">
        <v>59</v>
      </c>
      <c r="C9" t="s">
        <v>68</v>
      </c>
    </row>
    <row r="10" spans="1:11">
      <c r="A10">
        <v>108</v>
      </c>
      <c r="B10" t="s">
        <v>59</v>
      </c>
      <c r="C10" t="s">
        <v>69</v>
      </c>
    </row>
    <row r="11" spans="1:11">
      <c r="A11">
        <v>109</v>
      </c>
      <c r="B11" t="s">
        <v>59</v>
      </c>
      <c r="C11" t="s">
        <v>70</v>
      </c>
    </row>
    <row r="12" spans="1:11">
      <c r="A12">
        <v>110</v>
      </c>
      <c r="B12" t="s">
        <v>59</v>
      </c>
      <c r="C12" t="s">
        <v>90</v>
      </c>
    </row>
    <row r="13" spans="1:11">
      <c r="C13" t="s">
        <v>87</v>
      </c>
    </row>
    <row r="14" spans="1:11">
      <c r="C14" t="s">
        <v>88</v>
      </c>
    </row>
    <row r="15" spans="1:11">
      <c r="C15" t="s">
        <v>89</v>
      </c>
    </row>
    <row r="16" spans="1:11">
      <c r="C16" t="s">
        <v>91</v>
      </c>
    </row>
    <row r="17" spans="1:3">
      <c r="C17" t="s">
        <v>92</v>
      </c>
    </row>
    <row r="18" spans="1:3">
      <c r="C18" t="s">
        <v>93</v>
      </c>
    </row>
    <row r="19" spans="1:3">
      <c r="C19" t="s">
        <v>94</v>
      </c>
    </row>
    <row r="20" spans="1:3">
      <c r="C20" t="s">
        <v>96</v>
      </c>
    </row>
    <row r="21" spans="1:3">
      <c r="C21" t="s">
        <v>97</v>
      </c>
    </row>
    <row r="22" spans="1:3">
      <c r="C22" t="s">
        <v>98</v>
      </c>
    </row>
    <row r="26" spans="1:3">
      <c r="A26">
        <v>200</v>
      </c>
      <c r="B26" t="s">
        <v>37</v>
      </c>
      <c r="C26" t="s">
        <v>41</v>
      </c>
    </row>
    <row r="27" spans="1:3">
      <c r="A27">
        <v>201</v>
      </c>
      <c r="B27" t="s">
        <v>50</v>
      </c>
      <c r="C27" t="s">
        <v>46</v>
      </c>
    </row>
    <row r="28" spans="1:3">
      <c r="A28">
        <v>202</v>
      </c>
      <c r="B28" t="s">
        <v>61</v>
      </c>
      <c r="C28" t="s">
        <v>62</v>
      </c>
    </row>
    <row r="29" spans="1:3">
      <c r="A29">
        <v>203</v>
      </c>
      <c r="B29" t="s">
        <v>50</v>
      </c>
      <c r="C29" t="s">
        <v>42</v>
      </c>
    </row>
    <row r="30" spans="1:3">
      <c r="A30">
        <v>204</v>
      </c>
      <c r="B30" t="s">
        <v>50</v>
      </c>
      <c r="C30" t="s">
        <v>43</v>
      </c>
    </row>
    <row r="31" spans="1:3">
      <c r="A31">
        <v>205</v>
      </c>
      <c r="B31" t="s">
        <v>50</v>
      </c>
      <c r="C31" t="s">
        <v>44</v>
      </c>
    </row>
    <row r="32" spans="1:3">
      <c r="A32">
        <v>206</v>
      </c>
      <c r="B32" t="s">
        <v>50</v>
      </c>
      <c r="C32" t="s">
        <v>45</v>
      </c>
    </row>
    <row r="33" spans="1:3">
      <c r="A33">
        <v>207</v>
      </c>
      <c r="B33" t="s">
        <v>50</v>
      </c>
      <c r="C33" t="s">
        <v>52</v>
      </c>
    </row>
    <row r="34" spans="1:3">
      <c r="A34">
        <v>208</v>
      </c>
      <c r="B34" t="s">
        <v>50</v>
      </c>
      <c r="C34" t="s">
        <v>53</v>
      </c>
    </row>
    <row r="35" spans="1:3">
      <c r="C35" t="s">
        <v>99</v>
      </c>
    </row>
    <row r="36" spans="1:3">
      <c r="C36" t="s">
        <v>100</v>
      </c>
    </row>
    <row r="37" spans="1:3">
      <c r="C37" t="s">
        <v>102</v>
      </c>
    </row>
    <row r="38" spans="1:3">
      <c r="C38" t="s">
        <v>103</v>
      </c>
    </row>
    <row r="39" spans="1:3">
      <c r="C39" t="s">
        <v>104</v>
      </c>
    </row>
    <row r="40" spans="1:3">
      <c r="C40" t="s">
        <v>105</v>
      </c>
    </row>
    <row r="41" spans="1:3">
      <c r="C41" t="s">
        <v>111</v>
      </c>
    </row>
    <row r="45" spans="1:3">
      <c r="A45">
        <v>209</v>
      </c>
      <c r="B45" t="s">
        <v>54</v>
      </c>
      <c r="C45" t="s">
        <v>55</v>
      </c>
    </row>
    <row r="46" spans="1:3">
      <c r="A46">
        <v>210</v>
      </c>
      <c r="B46" t="s">
        <v>56</v>
      </c>
      <c r="C46" t="s">
        <v>57</v>
      </c>
    </row>
    <row r="47" spans="1:3">
      <c r="A47">
        <v>300</v>
      </c>
      <c r="B47" t="s">
        <v>51</v>
      </c>
      <c r="C47" t="s">
        <v>47</v>
      </c>
    </row>
    <row r="48" spans="1:3">
      <c r="A48">
        <v>301</v>
      </c>
      <c r="B48" t="s">
        <v>51</v>
      </c>
      <c r="C48" t="s">
        <v>48</v>
      </c>
    </row>
    <row r="49" spans="1:3">
      <c r="A49">
        <v>302</v>
      </c>
      <c r="B49" t="s">
        <v>51</v>
      </c>
      <c r="C49" t="s">
        <v>49</v>
      </c>
    </row>
    <row r="56" spans="1:3">
      <c r="A56">
        <v>400</v>
      </c>
      <c r="B56" t="s">
        <v>58</v>
      </c>
      <c r="C56" t="s">
        <v>60</v>
      </c>
    </row>
    <row r="57" spans="1:3">
      <c r="C57" t="s">
        <v>106</v>
      </c>
    </row>
    <row r="58" spans="1:3">
      <c r="A58">
        <v>401</v>
      </c>
      <c r="B58" t="s">
        <v>58</v>
      </c>
      <c r="C58" t="s">
        <v>71</v>
      </c>
    </row>
    <row r="59" spans="1:3">
      <c r="A59">
        <v>402</v>
      </c>
      <c r="B59" t="s">
        <v>58</v>
      </c>
      <c r="C59" t="s">
        <v>72</v>
      </c>
    </row>
    <row r="60" spans="1:3">
      <c r="A60">
        <v>403</v>
      </c>
      <c r="B60" t="s">
        <v>58</v>
      </c>
      <c r="C60" t="s">
        <v>74</v>
      </c>
    </row>
    <row r="61" spans="1:3">
      <c r="A61">
        <v>404</v>
      </c>
      <c r="B61" t="s">
        <v>58</v>
      </c>
      <c r="C61" t="s">
        <v>73</v>
      </c>
    </row>
    <row r="62" spans="1:3">
      <c r="A62">
        <v>405</v>
      </c>
      <c r="B62" t="s">
        <v>58</v>
      </c>
      <c r="C62" t="s">
        <v>75</v>
      </c>
    </row>
    <row r="63" spans="1:3">
      <c r="A63">
        <v>406</v>
      </c>
      <c r="B63" t="s">
        <v>58</v>
      </c>
      <c r="C63" t="s">
        <v>76</v>
      </c>
    </row>
    <row r="64" spans="1:3">
      <c r="C64" t="s">
        <v>109</v>
      </c>
    </row>
    <row r="65" spans="2:5">
      <c r="C65" t="s">
        <v>101</v>
      </c>
    </row>
    <row r="66" spans="2:5">
      <c r="C66" t="s">
        <v>110</v>
      </c>
    </row>
    <row r="67" spans="2:5">
      <c r="C67" t="s">
        <v>107</v>
      </c>
    </row>
    <row r="68" spans="2:5">
      <c r="C68" t="s">
        <v>108</v>
      </c>
    </row>
    <row r="69" spans="2:5">
      <c r="C69" t="s">
        <v>112</v>
      </c>
    </row>
    <row r="70" spans="2:5">
      <c r="C70" t="s">
        <v>115</v>
      </c>
      <c r="E70" t="s">
        <v>116</v>
      </c>
    </row>
    <row r="71" spans="2:5">
      <c r="C71" t="s">
        <v>113</v>
      </c>
    </row>
    <row r="72" spans="2:5">
      <c r="C72" t="s">
        <v>114</v>
      </c>
      <c r="E72" t="s">
        <v>116</v>
      </c>
    </row>
    <row r="73" spans="2:5">
      <c r="B73" t="s">
        <v>117</v>
      </c>
      <c r="C73" t="s">
        <v>118</v>
      </c>
    </row>
    <row r="74" spans="2:5">
      <c r="B74" t="s">
        <v>119</v>
      </c>
      <c r="C74" t="s">
        <v>120</v>
      </c>
      <c r="E74" t="s">
        <v>121</v>
      </c>
    </row>
    <row r="81" spans="1:3">
      <c r="A81">
        <v>501</v>
      </c>
      <c r="B81" t="s">
        <v>77</v>
      </c>
      <c r="C81" t="s">
        <v>78</v>
      </c>
    </row>
    <row r="82" spans="1:3">
      <c r="A82">
        <v>502</v>
      </c>
      <c r="B82" t="s">
        <v>77</v>
      </c>
      <c r="C82" t="s">
        <v>95</v>
      </c>
    </row>
    <row r="83" spans="1:3">
      <c r="B83" t="s">
        <v>77</v>
      </c>
      <c r="C83" t="s">
        <v>79</v>
      </c>
    </row>
    <row r="84" spans="1:3">
      <c r="C84" t="s">
        <v>80</v>
      </c>
    </row>
    <row r="85" spans="1:3">
      <c r="C85" t="s">
        <v>81</v>
      </c>
    </row>
    <row r="86" spans="1:3">
      <c r="B86" t="s">
        <v>82</v>
      </c>
      <c r="C86" t="s">
        <v>83</v>
      </c>
    </row>
    <row r="87" spans="1:3">
      <c r="C87" t="s">
        <v>84</v>
      </c>
    </row>
    <row r="88" spans="1:3">
      <c r="C88" t="s">
        <v>85</v>
      </c>
    </row>
    <row r="89" spans="1:3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27"/>
  <sheetViews>
    <sheetView tabSelected="1" workbookViewId="0">
      <selection activeCell="D26" sqref="D26"/>
    </sheetView>
  </sheetViews>
  <sheetFormatPr defaultColWidth="11" defaultRowHeight="15.75"/>
  <cols>
    <col min="3" max="3" width="48.125" customWidth="1"/>
  </cols>
  <sheetData>
    <row r="1" spans="1:14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4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4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4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4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166</v>
      </c>
      <c r="M6" t="s">
        <v>29</v>
      </c>
      <c r="N6" t="s">
        <v>15</v>
      </c>
    </row>
    <row r="7" spans="1:14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4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4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4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4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148</v>
      </c>
      <c r="M11" t="s">
        <v>140</v>
      </c>
      <c r="N11" t="s">
        <v>15</v>
      </c>
    </row>
    <row r="12" spans="1:14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4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4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4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4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149</v>
      </c>
      <c r="M16" t="s">
        <v>141</v>
      </c>
      <c r="N16" t="s">
        <v>15</v>
      </c>
    </row>
    <row r="17" spans="1:14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150</v>
      </c>
      <c r="M20" t="s">
        <v>141</v>
      </c>
      <c r="N20" t="s">
        <v>15</v>
      </c>
    </row>
    <row r="21" spans="1:14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151</v>
      </c>
      <c r="M22" t="s">
        <v>141</v>
      </c>
      <c r="N22" t="s">
        <v>15</v>
      </c>
    </row>
    <row r="23" spans="1:14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104775</xdr:colOff>
                    <xdr:row>0</xdr:row>
                    <xdr:rowOff>47625</xdr:rowOff>
                  </from>
                  <to>
                    <xdr:col>11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24"/>
  <sheetViews>
    <sheetView workbookViewId="0">
      <selection activeCell="J2" sqref="J2"/>
    </sheetView>
  </sheetViews>
  <sheetFormatPr defaultColWidth="11" defaultRowHeight="15.75"/>
  <cols>
    <col min="1" max="1" width="11" style="3" bestFit="1" customWidth="1"/>
    <col min="2" max="2" width="29.125" bestFit="1" customWidth="1"/>
    <col min="3" max="3" width="21.5" bestFit="1" customWidth="1"/>
    <col min="4" max="4" width="20.375" bestFit="1" customWidth="1"/>
  </cols>
  <sheetData>
    <row r="1" spans="1:11">
      <c r="A1" s="3" t="s">
        <v>12</v>
      </c>
      <c r="B1" t="s">
        <v>17</v>
      </c>
      <c r="C1" t="s">
        <v>20</v>
      </c>
      <c r="D1" t="s">
        <v>26</v>
      </c>
      <c r="J1" t="s">
        <v>184</v>
      </c>
    </row>
    <row r="2" spans="1:11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1">
      <c r="A3" s="2" t="s">
        <v>10</v>
      </c>
      <c r="B3" s="1" t="s">
        <v>14</v>
      </c>
      <c r="C3" t="s">
        <v>21</v>
      </c>
      <c r="D3" t="s">
        <v>152</v>
      </c>
      <c r="E3" s="4">
        <v>1</v>
      </c>
      <c r="J3">
        <v>100</v>
      </c>
      <c r="K3" t="s">
        <v>171</v>
      </c>
    </row>
    <row r="4" spans="1:11">
      <c r="A4" s="2" t="s">
        <v>18</v>
      </c>
      <c r="B4" s="1" t="s">
        <v>13</v>
      </c>
      <c r="C4" t="s">
        <v>22</v>
      </c>
      <c r="D4" t="s">
        <v>176</v>
      </c>
      <c r="E4" s="4">
        <v>2</v>
      </c>
      <c r="J4">
        <v>101</v>
      </c>
      <c r="K4" t="s">
        <v>173</v>
      </c>
    </row>
    <row r="5" spans="1:11">
      <c r="A5" s="2" t="s">
        <v>11</v>
      </c>
      <c r="C5" t="s">
        <v>23</v>
      </c>
      <c r="D5" t="s">
        <v>180</v>
      </c>
      <c r="E5" s="4">
        <v>3</v>
      </c>
      <c r="J5">
        <v>102</v>
      </c>
      <c r="K5" t="s">
        <v>174</v>
      </c>
    </row>
    <row r="6" spans="1:11">
      <c r="A6" s="3" t="s">
        <v>30</v>
      </c>
      <c r="C6" t="s">
        <v>24</v>
      </c>
      <c r="D6" t="s">
        <v>153</v>
      </c>
      <c r="E6" s="4">
        <v>4</v>
      </c>
      <c r="J6">
        <v>103</v>
      </c>
      <c r="K6" t="s">
        <v>181</v>
      </c>
    </row>
    <row r="7" spans="1:11">
      <c r="C7" t="s">
        <v>25</v>
      </c>
      <c r="D7" t="s">
        <v>168</v>
      </c>
      <c r="E7" s="4">
        <v>10</v>
      </c>
      <c r="J7">
        <v>104</v>
      </c>
      <c r="K7" t="s">
        <v>182</v>
      </c>
    </row>
    <row r="8" spans="1:11">
      <c r="D8" t="s">
        <v>169</v>
      </c>
      <c r="E8" s="4">
        <v>11</v>
      </c>
      <c r="J8">
        <v>105</v>
      </c>
      <c r="K8" t="s">
        <v>183</v>
      </c>
    </row>
    <row r="9" spans="1:11">
      <c r="D9" t="s">
        <v>170</v>
      </c>
      <c r="E9" s="4">
        <v>12</v>
      </c>
    </row>
    <row r="10" spans="1:11">
      <c r="D10" t="s">
        <v>154</v>
      </c>
      <c r="E10" s="4">
        <v>20</v>
      </c>
      <c r="F10" t="s">
        <v>172</v>
      </c>
    </row>
    <row r="11" spans="1:11">
      <c r="D11" t="s">
        <v>155</v>
      </c>
      <c r="E11" s="4">
        <v>21</v>
      </c>
    </row>
    <row r="12" spans="1:11">
      <c r="D12" t="s">
        <v>156</v>
      </c>
      <c r="E12" s="4">
        <v>30</v>
      </c>
    </row>
    <row r="13" spans="1:11">
      <c r="D13" t="s">
        <v>157</v>
      </c>
      <c r="E13" s="4">
        <v>40</v>
      </c>
    </row>
    <row r="14" spans="1:11">
      <c r="D14" t="s">
        <v>158</v>
      </c>
      <c r="E14" s="4">
        <v>41</v>
      </c>
    </row>
    <row r="15" spans="1:11">
      <c r="D15" t="s">
        <v>159</v>
      </c>
      <c r="E15" s="4">
        <v>42</v>
      </c>
    </row>
    <row r="16" spans="1:11">
      <c r="D16" t="s">
        <v>160</v>
      </c>
      <c r="E16" s="4">
        <v>43</v>
      </c>
    </row>
    <row r="17" spans="4:6">
      <c r="D17" t="s">
        <v>161</v>
      </c>
      <c r="E17" s="4">
        <v>50</v>
      </c>
    </row>
    <row r="18" spans="4:6">
      <c r="D18" t="s">
        <v>162</v>
      </c>
      <c r="E18" s="4">
        <v>60</v>
      </c>
    </row>
    <row r="19" spans="4:6">
      <c r="D19" t="s">
        <v>163</v>
      </c>
      <c r="E19" s="4">
        <v>70</v>
      </c>
    </row>
    <row r="20" spans="4:6">
      <c r="D20" t="s">
        <v>164</v>
      </c>
      <c r="E20" s="4">
        <v>71</v>
      </c>
    </row>
    <row r="21" spans="4:6">
      <c r="D21" t="s">
        <v>175</v>
      </c>
      <c r="E21" s="4">
        <v>80</v>
      </c>
    </row>
    <row r="22" spans="4:6">
      <c r="D22" t="s">
        <v>177</v>
      </c>
      <c r="E22" s="4">
        <v>200</v>
      </c>
      <c r="F22" t="s">
        <v>167</v>
      </c>
    </row>
    <row r="23" spans="4:6">
      <c r="D23" t="s">
        <v>178</v>
      </c>
      <c r="E23" s="4">
        <v>201</v>
      </c>
      <c r="F23" t="s">
        <v>165</v>
      </c>
    </row>
    <row r="24" spans="4:6">
      <c r="D24" t="s">
        <v>179</v>
      </c>
      <c r="E24" s="4">
        <v>202</v>
      </c>
      <c r="F24" t="s">
        <v>165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32"/>
  <sheetViews>
    <sheetView workbookViewId="0">
      <selection activeCell="C8" sqref="C8"/>
    </sheetView>
  </sheetViews>
  <sheetFormatPr defaultColWidth="11" defaultRowHeight="15.75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>
      <c r="A2" s="7">
        <v>1000</v>
      </c>
      <c r="B2" s="4">
        <f>VLOOKUP(E2,Enum!$D$2:$E$30,2,0)</f>
        <v>2</v>
      </c>
      <c r="C2" s="4">
        <v>5</v>
      </c>
      <c r="E2" t="s">
        <v>176</v>
      </c>
      <c r="F2" s="8"/>
      <c r="G2" s="8"/>
      <c r="H2" s="9"/>
      <c r="I2" s="8"/>
    </row>
    <row r="3" spans="1:9">
      <c r="A3" s="7">
        <v>1010</v>
      </c>
      <c r="B3" s="4">
        <f>VLOOKUP(E3,Enum!$D$2:$E$30,2,0)</f>
        <v>200</v>
      </c>
      <c r="C3" s="4" t="s">
        <v>185</v>
      </c>
      <c r="E3" t="s">
        <v>177</v>
      </c>
      <c r="F3" s="8"/>
      <c r="G3" s="8"/>
      <c r="H3" s="9"/>
      <c r="I3" s="8"/>
    </row>
    <row r="4" spans="1:9">
      <c r="A4" s="7">
        <v>1020</v>
      </c>
      <c r="B4" s="4">
        <f>VLOOKUP(E4,Enum!$D$2:$E$30,2,0)</f>
        <v>2</v>
      </c>
      <c r="C4" s="4">
        <v>5</v>
      </c>
      <c r="E4" t="s">
        <v>176</v>
      </c>
      <c r="F4" s="8"/>
      <c r="G4" s="8"/>
      <c r="H4" s="9"/>
      <c r="I4" s="8"/>
    </row>
    <row r="5" spans="1:9">
      <c r="A5" s="7">
        <v>1030</v>
      </c>
      <c r="B5" s="4">
        <f>VLOOKUP(E5,Enum!$D$2:$E$30,2,0)</f>
        <v>200</v>
      </c>
      <c r="C5" s="4" t="s">
        <v>186</v>
      </c>
      <c r="E5" t="s">
        <v>177</v>
      </c>
      <c r="F5" s="8"/>
      <c r="G5" s="8"/>
      <c r="H5" s="9"/>
      <c r="I5" s="8"/>
    </row>
    <row r="6" spans="1:9">
      <c r="A6" s="7">
        <v>1040</v>
      </c>
      <c r="B6" s="4">
        <f>VLOOKUP(E6,Enum!$D$2:$E$30,2,0)</f>
        <v>201</v>
      </c>
      <c r="C6" s="4">
        <v>1</v>
      </c>
      <c r="E6" t="s">
        <v>178</v>
      </c>
      <c r="F6" s="8"/>
      <c r="G6" s="8"/>
      <c r="H6" s="9"/>
      <c r="I6" s="8"/>
    </row>
    <row r="7" spans="1:9">
      <c r="A7" s="7">
        <v>1050</v>
      </c>
      <c r="B7" s="4">
        <f>VLOOKUP(E7,Enum!$D$2:$E$30,2,0)</f>
        <v>200</v>
      </c>
      <c r="C7" s="4" t="s">
        <v>187</v>
      </c>
      <c r="E7" t="s">
        <v>177</v>
      </c>
      <c r="F7" s="8"/>
      <c r="G7" s="8"/>
      <c r="H7" s="9"/>
      <c r="I7" s="8"/>
    </row>
    <row r="8" spans="1:9">
      <c r="A8" s="7">
        <v>1060</v>
      </c>
      <c r="B8" s="4">
        <f>VLOOKUP(E8,Enum!$D$2:$E$30,2,0)</f>
        <v>202</v>
      </c>
      <c r="C8" s="4">
        <v>3</v>
      </c>
      <c r="E8" t="s">
        <v>179</v>
      </c>
      <c r="F8" s="8"/>
      <c r="G8" s="8"/>
      <c r="H8" s="9"/>
      <c r="I8" s="8"/>
    </row>
    <row r="9" spans="1:9">
      <c r="A9" s="7">
        <v>2000</v>
      </c>
      <c r="B9" s="4">
        <f>VLOOKUP(E9,Enum!$D$2:$E$30,2,0)</f>
        <v>10</v>
      </c>
      <c r="C9" s="4">
        <v>2</v>
      </c>
      <c r="E9" t="s">
        <v>168</v>
      </c>
      <c r="F9" s="8"/>
      <c r="G9" s="8"/>
      <c r="H9" s="9"/>
      <c r="I9" s="8"/>
    </row>
    <row r="10" spans="1:9">
      <c r="A10" s="7">
        <v>2010</v>
      </c>
      <c r="B10" s="4">
        <f>VLOOKUP(E10,Enum!$D$2:$E$30,2,0)</f>
        <v>10</v>
      </c>
      <c r="C10" s="4">
        <v>3</v>
      </c>
      <c r="E10" t="s">
        <v>168</v>
      </c>
      <c r="F10" s="8"/>
      <c r="G10" s="8"/>
      <c r="H10" s="9"/>
      <c r="I10" s="8"/>
    </row>
    <row r="11" spans="1:9">
      <c r="A11" s="4">
        <v>2011</v>
      </c>
      <c r="B11" s="4">
        <f>VLOOKUP(E11,Enum!$D$2:$E$30,2,0)</f>
        <v>1</v>
      </c>
      <c r="C11" s="4">
        <v>2</v>
      </c>
      <c r="E11" t="s">
        <v>152</v>
      </c>
      <c r="F11" s="8"/>
      <c r="G11" s="8"/>
      <c r="H11" s="9"/>
      <c r="I11" s="8"/>
    </row>
    <row r="12" spans="1:9">
      <c r="A12" s="7">
        <v>2020</v>
      </c>
      <c r="B12" s="4">
        <f>VLOOKUP(E12,Enum!$D$2:$E$30,2,0)</f>
        <v>10</v>
      </c>
      <c r="C12" s="4">
        <v>3</v>
      </c>
      <c r="E12" t="s">
        <v>168</v>
      </c>
      <c r="F12" s="8"/>
      <c r="G12" s="8"/>
      <c r="H12" s="9"/>
      <c r="I12" s="8"/>
    </row>
    <row r="13" spans="1:9">
      <c r="A13" s="4">
        <v>2021</v>
      </c>
      <c r="B13" s="4">
        <f>VLOOKUP(E13,Enum!$D$2:$E$30,2,0)</f>
        <v>2</v>
      </c>
      <c r="C13" s="4">
        <v>3</v>
      </c>
      <c r="E13" t="s">
        <v>176</v>
      </c>
      <c r="F13" s="8"/>
      <c r="G13" s="8"/>
      <c r="H13" s="9"/>
      <c r="I13" s="8"/>
    </row>
    <row r="14" spans="1:9">
      <c r="A14" s="7">
        <v>2030</v>
      </c>
      <c r="B14" s="4">
        <f>VLOOKUP(E14,Enum!$D$2:$E$30,2,0)</f>
        <v>10</v>
      </c>
      <c r="C14" s="4">
        <v>8</v>
      </c>
      <c r="E14" t="s">
        <v>168</v>
      </c>
      <c r="F14" s="8"/>
      <c r="G14" s="8"/>
      <c r="H14" s="9"/>
      <c r="I14" s="8"/>
    </row>
    <row r="15" spans="1:9">
      <c r="A15" s="7">
        <v>2040</v>
      </c>
      <c r="B15" s="4">
        <f>VLOOKUP(E15,Enum!$D$2:$E$30,2,0)</f>
        <v>20</v>
      </c>
      <c r="C15" s="4">
        <v>100</v>
      </c>
      <c r="E15" t="s">
        <v>154</v>
      </c>
      <c r="F15" s="8"/>
      <c r="G15" s="8"/>
      <c r="H15" s="9"/>
      <c r="I15" s="8"/>
    </row>
    <row r="16" spans="1:9">
      <c r="A16" s="7">
        <v>2050</v>
      </c>
      <c r="B16" s="4">
        <f>VLOOKUP(E16,Enum!$D$2:$E$30,2,0)</f>
        <v>20</v>
      </c>
      <c r="C16" s="4">
        <v>101</v>
      </c>
      <c r="E16" t="s">
        <v>154</v>
      </c>
      <c r="F16" s="8"/>
      <c r="G16" s="8"/>
      <c r="H16" s="9"/>
      <c r="I16" s="8"/>
    </row>
    <row r="17" spans="1:9">
      <c r="A17" s="7">
        <v>2060</v>
      </c>
      <c r="B17" s="4">
        <f>VLOOKUP(E17,Enum!$D$2:$E$30,2,0)</f>
        <v>20</v>
      </c>
      <c r="C17" s="4">
        <v>102</v>
      </c>
      <c r="E17" t="s">
        <v>154</v>
      </c>
      <c r="F17" s="8"/>
      <c r="G17" s="8"/>
      <c r="H17" s="9"/>
      <c r="I17" s="8"/>
    </row>
    <row r="18" spans="1:9">
      <c r="A18" s="7">
        <v>3000</v>
      </c>
      <c r="B18" s="4">
        <f>VLOOKUP(E18,Enum!$D$2:$E$30,2,0)</f>
        <v>80</v>
      </c>
      <c r="C18" s="4">
        <v>1</v>
      </c>
      <c r="E18" t="s">
        <v>175</v>
      </c>
      <c r="F18" s="8"/>
      <c r="G18" s="8"/>
      <c r="H18" s="9"/>
      <c r="I18" s="8"/>
    </row>
    <row r="19" spans="1:9">
      <c r="A19" s="4">
        <v>3001</v>
      </c>
      <c r="B19" s="4">
        <f>VLOOKUP(E19,Enum!$D$2:$E$30,2,0)</f>
        <v>40</v>
      </c>
      <c r="C19" s="4">
        <v>1</v>
      </c>
      <c r="E19" t="s">
        <v>157</v>
      </c>
      <c r="F19" s="8"/>
      <c r="G19" s="8"/>
      <c r="H19" s="9"/>
      <c r="I19" s="8"/>
    </row>
    <row r="20" spans="1:9">
      <c r="A20" s="7">
        <v>3010</v>
      </c>
      <c r="B20" s="4">
        <f>VLOOKUP(E20,Enum!$D$2:$E$30,2,0)</f>
        <v>80</v>
      </c>
      <c r="C20" s="4">
        <v>3</v>
      </c>
      <c r="E20" t="s">
        <v>175</v>
      </c>
      <c r="F20" s="8"/>
      <c r="G20" s="8"/>
      <c r="H20" s="9"/>
      <c r="I20" s="8"/>
    </row>
    <row r="21" spans="1:9">
      <c r="A21" s="7">
        <v>4000</v>
      </c>
      <c r="B21" s="4">
        <f>VLOOKUP(E21,Enum!$D$2:$E$30,2,0)</f>
        <v>3</v>
      </c>
      <c r="C21" s="4">
        <v>5</v>
      </c>
      <c r="E21" t="s">
        <v>180</v>
      </c>
      <c r="F21" s="8"/>
      <c r="G21" s="8"/>
      <c r="H21" s="9"/>
      <c r="I21" s="8"/>
    </row>
    <row r="22" spans="1:9">
      <c r="A22" s="7">
        <v>4010</v>
      </c>
      <c r="B22" s="4">
        <f>VLOOKUP(E22,Enum!$D$2:$E$30,2,0)</f>
        <v>40</v>
      </c>
      <c r="C22" s="4">
        <v>3</v>
      </c>
      <c r="E22" t="s">
        <v>157</v>
      </c>
      <c r="F22" s="8"/>
      <c r="G22" s="8"/>
      <c r="H22" s="9"/>
      <c r="I22" s="8"/>
    </row>
    <row r="23" spans="1:9">
      <c r="A23" s="7">
        <v>4020</v>
      </c>
      <c r="B23" s="4">
        <f>VLOOKUP(E23,Enum!$D$2:$E$30,2,0)</f>
        <v>3</v>
      </c>
      <c r="C23" s="4">
        <v>4</v>
      </c>
      <c r="E23" t="s">
        <v>180</v>
      </c>
      <c r="F23" s="8"/>
      <c r="G23" s="8"/>
      <c r="H23" s="9"/>
      <c r="I23" s="8"/>
    </row>
    <row r="24" spans="1:9">
      <c r="A24" s="4">
        <v>4021</v>
      </c>
      <c r="B24" s="4">
        <f>VLOOKUP(E24,Enum!$D$2:$E$30,2,0)</f>
        <v>40</v>
      </c>
      <c r="C24" s="4">
        <v>1</v>
      </c>
      <c r="E24" t="s">
        <v>157</v>
      </c>
      <c r="F24" s="8"/>
      <c r="G24" s="8"/>
      <c r="H24" s="9"/>
      <c r="I24" s="8"/>
    </row>
    <row r="25" spans="1:9">
      <c r="A25" s="7">
        <v>4030</v>
      </c>
      <c r="B25" s="4">
        <f>VLOOKUP(E25,Enum!$D$2:$E$30,2,0)</f>
        <v>1</v>
      </c>
      <c r="C25" s="4">
        <v>5</v>
      </c>
      <c r="E25" t="s">
        <v>152</v>
      </c>
      <c r="F25" s="8"/>
      <c r="G25" s="8"/>
      <c r="H25" s="9"/>
      <c r="I25" s="8"/>
    </row>
    <row r="26" spans="1:9">
      <c r="A26" s="7">
        <v>4040</v>
      </c>
      <c r="B26" s="4">
        <f>VLOOKUP(E26,Enum!$D$2:$E$30,2,0)</f>
        <v>3</v>
      </c>
      <c r="C26" s="4">
        <v>6</v>
      </c>
      <c r="E26" t="s">
        <v>180</v>
      </c>
      <c r="F26" s="8"/>
      <c r="G26" s="8"/>
      <c r="H26" s="9"/>
      <c r="I26" s="8"/>
    </row>
    <row r="27" spans="1:9">
      <c r="A27" s="4">
        <v>4041</v>
      </c>
      <c r="B27" s="4">
        <f>VLOOKUP(E27,Enum!$D$2:$E$30,2,0)</f>
        <v>1</v>
      </c>
      <c r="C27" s="4">
        <v>4</v>
      </c>
      <c r="E27" t="s">
        <v>152</v>
      </c>
      <c r="F27" s="8"/>
      <c r="G27" s="8"/>
      <c r="H27" s="9"/>
      <c r="I27" s="8"/>
    </row>
    <row r="28" spans="1:9">
      <c r="A28" s="7">
        <v>4050</v>
      </c>
      <c r="B28" s="4">
        <f>VLOOKUP(E28,Enum!$D$2:$E$30,2,0)</f>
        <v>1</v>
      </c>
      <c r="C28" s="4">
        <v>20</v>
      </c>
      <c r="E28" t="s">
        <v>152</v>
      </c>
      <c r="F28" s="8"/>
      <c r="G28" s="8"/>
      <c r="H28" s="9"/>
      <c r="I28" s="8"/>
    </row>
    <row r="29" spans="1:9">
      <c r="A29" s="7">
        <v>4060</v>
      </c>
      <c r="B29" s="4">
        <f>VLOOKUP(E29,Enum!$D$2:$E$30,2,0)</f>
        <v>20</v>
      </c>
      <c r="C29" s="4">
        <v>103</v>
      </c>
      <c r="E29" t="s">
        <v>154</v>
      </c>
      <c r="F29" s="8"/>
      <c r="G29" s="8"/>
      <c r="H29" s="9"/>
      <c r="I29" s="8"/>
    </row>
    <row r="30" spans="1:9">
      <c r="A30" s="7">
        <v>4070</v>
      </c>
      <c r="B30" s="4">
        <f>VLOOKUP(E30,Enum!$D$2:$E$30,2,0)</f>
        <v>80</v>
      </c>
      <c r="C30" s="4">
        <v>10</v>
      </c>
      <c r="E30" t="s">
        <v>175</v>
      </c>
      <c r="F30" s="8"/>
      <c r="G30" s="8"/>
      <c r="H30" s="9"/>
      <c r="I30" s="8"/>
    </row>
    <row r="31" spans="1:9">
      <c r="A31" s="7">
        <v>5010</v>
      </c>
      <c r="B31" s="4">
        <f>VLOOKUP(E31,Enum!$D$2:$E$30,2,0)</f>
        <v>20</v>
      </c>
      <c r="C31" s="4">
        <v>104</v>
      </c>
      <c r="E31" t="s">
        <v>154</v>
      </c>
      <c r="F31" s="8"/>
      <c r="G31" s="8"/>
      <c r="H31" s="9"/>
      <c r="I31" s="8"/>
    </row>
    <row r="32" spans="1:9">
      <c r="A32" s="7">
        <v>5020</v>
      </c>
      <c r="B32" s="4">
        <f>VLOOKUP(E32,Enum!$D$2:$E$30,2,0)</f>
        <v>20</v>
      </c>
      <c r="C32" s="4">
        <v>105</v>
      </c>
      <c r="E32" t="s">
        <v>154</v>
      </c>
      <c r="F32" s="8"/>
      <c r="G32" s="8"/>
      <c r="H32" s="9"/>
      <c r="I32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142875</xdr:colOff>
                    <xdr:row>0</xdr:row>
                    <xdr:rowOff>47625</xdr:rowOff>
                  </from>
                  <to>
                    <xdr:col>3</xdr:col>
                    <xdr:colOff>676275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sky</cp:lastModifiedBy>
  <dcterms:created xsi:type="dcterms:W3CDTF">2018-04-20T00:13:43Z</dcterms:created>
  <dcterms:modified xsi:type="dcterms:W3CDTF">2018-08-21T05:17:27Z</dcterms:modified>
</cp:coreProperties>
</file>